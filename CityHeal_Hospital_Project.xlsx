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shgupta/Downloads/"/>
    </mc:Choice>
  </mc:AlternateContent>
  <xr:revisionPtr revIDLastSave="0" documentId="13_ncr:1_{229946B8-5DAA-FD43-9B4F-3D0F3D139643}" xr6:coauthVersionLast="47" xr6:coauthVersionMax="47" xr10:uidLastSave="{00000000-0000-0000-0000-000000000000}"/>
  <bookViews>
    <workbookView xWindow="0" yWindow="660" windowWidth="29400" windowHeight="16800" tabRatio="500" activeTab="1" xr2:uid="{00000000-000D-0000-FFFF-FFFF00000000}"/>
  </bookViews>
  <sheets>
    <sheet name="Patient Data" sheetId="1" r:id="rId1"/>
    <sheet name="Analysis &amp; Formula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2" l="1"/>
  <c r="D12" i="2"/>
  <c r="C12" i="2"/>
  <c r="D11" i="2"/>
  <c r="C11" i="2"/>
  <c r="D10" i="2"/>
  <c r="C10" i="2"/>
  <c r="D8" i="2"/>
  <c r="C8" i="2"/>
  <c r="D7" i="2"/>
  <c r="C7" i="2"/>
  <c r="D4" i="2"/>
  <c r="C4" i="2"/>
  <c r="I22" i="1"/>
  <c r="H22" i="1"/>
  <c r="G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D9" i="2" l="1"/>
  <c r="D5" i="2"/>
  <c r="C5" i="2"/>
  <c r="C6" i="2"/>
  <c r="J22" i="1"/>
  <c r="D6" i="2"/>
  <c r="D3" i="2"/>
  <c r="C9" i="2"/>
</calcChain>
</file>

<file path=xl/sharedStrings.xml><?xml version="1.0" encoding="utf-8"?>
<sst xmlns="http://schemas.openxmlformats.org/spreadsheetml/2006/main" count="158" uniqueCount="105">
  <si>
    <t xml:space="preserve">  CityHeal Hospital - Patient Admission &amp; Treatment Records (2024)</t>
  </si>
  <si>
    <t>P.ID</t>
  </si>
  <si>
    <t>Patient Name</t>
  </si>
  <si>
    <t>Age</t>
  </si>
  <si>
    <t>Gender</t>
  </si>
  <si>
    <t>Department</t>
  </si>
  <si>
    <t>Ward</t>
  </si>
  <si>
    <t>Days Admitted</t>
  </si>
  <si>
    <t>Treatment Cost (Rs.)</t>
  </si>
  <si>
    <t>Doctor Charges (Rs.)</t>
  </si>
  <si>
    <t>Total Bill (Rs.)</t>
  </si>
  <si>
    <t>Month</t>
  </si>
  <si>
    <t>P001</t>
  </si>
  <si>
    <t>Rajesh Gupta</t>
  </si>
  <si>
    <t>Male</t>
  </si>
  <si>
    <t>Cardiology</t>
  </si>
  <si>
    <t>General</t>
  </si>
  <si>
    <t>January</t>
  </si>
  <si>
    <t>P002</t>
  </si>
  <si>
    <t>Sunita Sharma</t>
  </si>
  <si>
    <t>Female</t>
  </si>
  <si>
    <t>Gynecology</t>
  </si>
  <si>
    <t>Private</t>
  </si>
  <si>
    <t>P003</t>
  </si>
  <si>
    <t>Amit Verma</t>
  </si>
  <si>
    <t>Orthopedics</t>
  </si>
  <si>
    <t>February</t>
  </si>
  <si>
    <t>P004</t>
  </si>
  <si>
    <t>Priya Singh</t>
  </si>
  <si>
    <t>Pediatrics</t>
  </si>
  <si>
    <t>P005</t>
  </si>
  <si>
    <t>Vikram Rao</t>
  </si>
  <si>
    <t>Neurology</t>
  </si>
  <si>
    <t>ICU</t>
  </si>
  <si>
    <t>March</t>
  </si>
  <si>
    <t>P006</t>
  </si>
  <si>
    <t>Kavita Joshi</t>
  </si>
  <si>
    <t>P007</t>
  </si>
  <si>
    <t>Suresh Patel</t>
  </si>
  <si>
    <t>April</t>
  </si>
  <si>
    <t>P008</t>
  </si>
  <si>
    <t>Meena Nair</t>
  </si>
  <si>
    <t>P009</t>
  </si>
  <si>
    <t>Arun Kumar</t>
  </si>
  <si>
    <t>May</t>
  </si>
  <si>
    <t>P010</t>
  </si>
  <si>
    <t>Divya Pillai</t>
  </si>
  <si>
    <t>P011</t>
  </si>
  <si>
    <t>Nikhil Arora</t>
  </si>
  <si>
    <t>June</t>
  </si>
  <si>
    <t>P012</t>
  </si>
  <si>
    <t>Rekha Mishra</t>
  </si>
  <si>
    <t>P013</t>
  </si>
  <si>
    <t>Deepak Jain</t>
  </si>
  <si>
    <t>July</t>
  </si>
  <si>
    <t>P014</t>
  </si>
  <si>
    <t>Anita Desai</t>
  </si>
  <si>
    <t>P015</t>
  </si>
  <si>
    <t>Manoj Yadav</t>
  </si>
  <si>
    <t>August</t>
  </si>
  <si>
    <t>P016</t>
  </si>
  <si>
    <t>Pooja Tiwari</t>
  </si>
  <si>
    <t>P017</t>
  </si>
  <si>
    <t>Sanjay Mehta</t>
  </si>
  <si>
    <t>September</t>
  </si>
  <si>
    <t>P018</t>
  </si>
  <si>
    <t>Leela Krishnan</t>
  </si>
  <si>
    <t>TOTAL</t>
  </si>
  <si>
    <t xml:space="preserve">  Data Analysis - 10 Excel Functions Applied to Patient Data</t>
  </si>
  <si>
    <t>#</t>
  </si>
  <si>
    <t>Function</t>
  </si>
  <si>
    <t>Formula Used</t>
  </si>
  <si>
    <t>Result</t>
  </si>
  <si>
    <t>Business Interpretation</t>
  </si>
  <si>
    <t>1</t>
  </si>
  <si>
    <t>SUM</t>
  </si>
  <si>
    <t>Adds all 18 total bills to get hospital's total revenue</t>
  </si>
  <si>
    <t>2</t>
  </si>
  <si>
    <t>AVERAGE</t>
  </si>
  <si>
    <t>Calculates average length of patient stay (days)</t>
  </si>
  <si>
    <t>3</t>
  </si>
  <si>
    <t>MAX</t>
  </si>
  <si>
    <t>Finds the highest total bill among all patients</t>
  </si>
  <si>
    <t>4</t>
  </si>
  <si>
    <t>MIN</t>
  </si>
  <si>
    <t>Finds the lowest total bill among all patients</t>
  </si>
  <si>
    <t>5</t>
  </si>
  <si>
    <t>COUNT</t>
  </si>
  <si>
    <t>Counts how many patient records have valid numeric stay days</t>
  </si>
  <si>
    <t>6</t>
  </si>
  <si>
    <t>COUNTIF</t>
  </si>
  <si>
    <t>Counts how many patients were admitted in Cardiology dept</t>
  </si>
  <si>
    <t>7</t>
  </si>
  <si>
    <t>SUMIF</t>
  </si>
  <si>
    <t>Total bills collected from ICU ward patients only</t>
  </si>
  <si>
    <t>8</t>
  </si>
  <si>
    <t>IF</t>
  </si>
  <si>
    <t>Checks if average patient stay exceeds 5 days threshold</t>
  </si>
  <si>
    <t>9</t>
  </si>
  <si>
    <t>VLOOKUP</t>
  </si>
  <si>
    <t>Retrieves total bill of patient ID P009 (Arun Kumar)</t>
  </si>
  <si>
    <t>10</t>
  </si>
  <si>
    <t>AVERAGEIF</t>
  </si>
  <si>
    <t>Average days admitted for Neurology department patients</t>
  </si>
  <si>
    <t>Case Study: Analyzing hospital patient data across departments and wards | Data Interpretation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</si>
</sst>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i/>
      <sz val="16"/>
      <color rgb="FF424242"/>
      <name val="Times New Roman"/>
      <family val="1"/>
    </font>
    <font>
      <sz val="16"/>
      <color theme="1"/>
      <name val="Times New Roman"/>
      <family val="1"/>
    </font>
    <font>
      <b/>
      <sz val="18"/>
      <color rgb="FFFFFFFF"/>
      <name val="Arial"/>
      <family val="2"/>
    </font>
    <font>
      <sz val="18"/>
      <color theme="1"/>
      <name val="Calibri"/>
      <family val="2"/>
      <charset val="1"/>
    </font>
    <font>
      <b/>
      <sz val="18"/>
      <color rgb="FF1B5E20"/>
      <name val="Arial"/>
      <family val="2"/>
    </font>
    <font>
      <i/>
      <sz val="18"/>
      <color rgb="FF6A1B9A"/>
      <name val="Courier New"/>
      <family val="1"/>
    </font>
    <font>
      <i/>
      <sz val="18"/>
      <color rgb="FFFF0000"/>
      <name val="Arial"/>
      <family val="2"/>
    </font>
    <font>
      <b/>
      <sz val="16"/>
      <color rgb="FFFF0000"/>
      <name val="Times New Roman"/>
      <family val="1"/>
    </font>
    <font>
      <sz val="16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B5E20"/>
        <bgColor rgb="FF424242"/>
      </patternFill>
    </fill>
    <fill>
      <patternFill patternType="solid">
        <fgColor rgb="FFC8E6C9"/>
        <bgColor rgb="FFB2DFDB"/>
      </patternFill>
    </fill>
    <fill>
      <patternFill patternType="solid">
        <fgColor rgb="FF388E3C"/>
        <bgColor rgb="FF008080"/>
      </patternFill>
    </fill>
    <fill>
      <patternFill patternType="solid">
        <fgColor rgb="FFF5F5F5"/>
        <bgColor rgb="FFF9FBE7"/>
      </patternFill>
    </fill>
    <fill>
      <patternFill patternType="solid">
        <fgColor rgb="FFFFFFFF"/>
        <bgColor rgb="FFF9FBE7"/>
      </patternFill>
    </fill>
    <fill>
      <patternFill patternType="solid">
        <fgColor rgb="FF424242"/>
        <bgColor rgb="FF333300"/>
      </patternFill>
    </fill>
    <fill>
      <patternFill patternType="solid">
        <fgColor rgb="FFF57F17"/>
        <bgColor rgb="FFFF9900"/>
      </patternFill>
    </fill>
    <fill>
      <patternFill patternType="solid">
        <fgColor rgb="FFB2DFDB"/>
        <bgColor rgb="FFC8E6C9"/>
      </patternFill>
    </fill>
    <fill>
      <patternFill patternType="solid">
        <fgColor rgb="FFFFF8E1"/>
        <bgColor rgb="FFF9FBE7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DBDBD"/>
      <rgbColor rgb="FF808080"/>
      <rgbColor rgb="FF9999FF"/>
      <rgbColor rgb="FF993366"/>
      <rgbColor rgb="FFFFF8E1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BE7"/>
      <rgbColor rgb="FFC8E6C9"/>
      <rgbColor rgb="FFFFFF99"/>
      <rgbColor rgb="FFB2DFD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F17"/>
      <rgbColor rgb="FF666699"/>
      <rgbColor rgb="FF969696"/>
      <rgbColor rgb="FF003366"/>
      <rgbColor rgb="FF388E3C"/>
      <rgbColor rgb="FF003300"/>
      <rgbColor rgb="FF333300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zoomScale="111" zoomScaleNormal="100" workbookViewId="0">
      <selection activeCell="J21" sqref="J21"/>
    </sheetView>
  </sheetViews>
  <sheetFormatPr baseColWidth="10" defaultColWidth="8.6640625" defaultRowHeight="14" x14ac:dyDescent="0.15"/>
  <cols>
    <col min="1" max="1" width="7" style="1" customWidth="1"/>
    <col min="2" max="2" width="18" style="1" customWidth="1"/>
    <col min="3" max="3" width="6" style="1" customWidth="1"/>
    <col min="4" max="4" width="17" style="1" customWidth="1"/>
    <col min="5" max="5" width="20.6640625" style="1" customWidth="1"/>
    <col min="6" max="6" width="10" style="1" customWidth="1"/>
    <col min="7" max="7" width="23.83203125" style="1" customWidth="1"/>
    <col min="8" max="8" width="27.1640625" style="1" customWidth="1"/>
    <col min="9" max="9" width="28.6640625" style="1" customWidth="1"/>
    <col min="10" max="10" width="24.1640625" style="1" customWidth="1"/>
    <col min="11" max="11" width="12" style="1" customWidth="1"/>
    <col min="12" max="16384" width="8.6640625" style="1"/>
  </cols>
  <sheetData>
    <row r="1" spans="1:11" ht="33.7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8" customHeight="1" x14ac:dyDescent="0.15">
      <c r="A2" s="21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30" customHeight="1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20" x14ac:dyDescent="0.15">
      <c r="A4" s="3" t="s">
        <v>12</v>
      </c>
      <c r="B4" s="3" t="s">
        <v>13</v>
      </c>
      <c r="C4" s="3">
        <v>45</v>
      </c>
      <c r="D4" s="3" t="s">
        <v>14</v>
      </c>
      <c r="E4" s="3" t="s">
        <v>15</v>
      </c>
      <c r="F4" s="3" t="s">
        <v>16</v>
      </c>
      <c r="G4" s="3">
        <v>5</v>
      </c>
      <c r="H4" s="4">
        <v>28000</v>
      </c>
      <c r="I4" s="4">
        <v>8000</v>
      </c>
      <c r="J4" s="4">
        <f t="shared" ref="J4:J21" si="0">H4+I4</f>
        <v>36000</v>
      </c>
      <c r="K4" s="3" t="s">
        <v>17</v>
      </c>
    </row>
    <row r="5" spans="1:11" ht="20" x14ac:dyDescent="0.15">
      <c r="A5" s="5" t="s">
        <v>18</v>
      </c>
      <c r="B5" s="5" t="s">
        <v>19</v>
      </c>
      <c r="C5" s="5">
        <v>32</v>
      </c>
      <c r="D5" s="5" t="s">
        <v>20</v>
      </c>
      <c r="E5" s="5" t="s">
        <v>21</v>
      </c>
      <c r="F5" s="5" t="s">
        <v>22</v>
      </c>
      <c r="G5" s="5">
        <v>3</v>
      </c>
      <c r="H5" s="6">
        <v>15000</v>
      </c>
      <c r="I5" s="6">
        <v>5000</v>
      </c>
      <c r="J5" s="6">
        <f t="shared" si="0"/>
        <v>20000</v>
      </c>
      <c r="K5" s="5" t="s">
        <v>17</v>
      </c>
    </row>
    <row r="6" spans="1:11" ht="20" x14ac:dyDescent="0.15">
      <c r="A6" s="3" t="s">
        <v>23</v>
      </c>
      <c r="B6" s="3" t="s">
        <v>24</v>
      </c>
      <c r="C6" s="3">
        <v>60</v>
      </c>
      <c r="D6" s="3" t="s">
        <v>14</v>
      </c>
      <c r="E6" s="3" t="s">
        <v>25</v>
      </c>
      <c r="F6" s="3" t="s">
        <v>16</v>
      </c>
      <c r="G6" s="3">
        <v>7</v>
      </c>
      <c r="H6" s="4">
        <v>42000</v>
      </c>
      <c r="I6" s="4">
        <v>10000</v>
      </c>
      <c r="J6" s="4">
        <f t="shared" si="0"/>
        <v>52000</v>
      </c>
      <c r="K6" s="3" t="s">
        <v>26</v>
      </c>
    </row>
    <row r="7" spans="1:11" ht="20" x14ac:dyDescent="0.15">
      <c r="A7" s="5" t="s">
        <v>27</v>
      </c>
      <c r="B7" s="5" t="s">
        <v>28</v>
      </c>
      <c r="C7" s="5">
        <v>28</v>
      </c>
      <c r="D7" s="5" t="s">
        <v>20</v>
      </c>
      <c r="E7" s="5" t="s">
        <v>29</v>
      </c>
      <c r="F7" s="5" t="s">
        <v>16</v>
      </c>
      <c r="G7" s="5">
        <v>2</v>
      </c>
      <c r="H7" s="6">
        <v>8000</v>
      </c>
      <c r="I7" s="6">
        <v>3000</v>
      </c>
      <c r="J7" s="6">
        <f t="shared" si="0"/>
        <v>11000</v>
      </c>
      <c r="K7" s="5" t="s">
        <v>26</v>
      </c>
    </row>
    <row r="8" spans="1:11" ht="20" x14ac:dyDescent="0.15">
      <c r="A8" s="3" t="s">
        <v>30</v>
      </c>
      <c r="B8" s="3" t="s">
        <v>31</v>
      </c>
      <c r="C8" s="3">
        <v>55</v>
      </c>
      <c r="D8" s="3" t="s">
        <v>14</v>
      </c>
      <c r="E8" s="3" t="s">
        <v>32</v>
      </c>
      <c r="F8" s="3" t="s">
        <v>33</v>
      </c>
      <c r="G8" s="3">
        <v>10</v>
      </c>
      <c r="H8" s="4">
        <v>65000</v>
      </c>
      <c r="I8" s="4">
        <v>15000</v>
      </c>
      <c r="J8" s="4">
        <f t="shared" si="0"/>
        <v>80000</v>
      </c>
      <c r="K8" s="3" t="s">
        <v>34</v>
      </c>
    </row>
    <row r="9" spans="1:11" ht="20" x14ac:dyDescent="0.15">
      <c r="A9" s="5" t="s">
        <v>35</v>
      </c>
      <c r="B9" s="5" t="s">
        <v>36</v>
      </c>
      <c r="C9" s="5">
        <v>38</v>
      </c>
      <c r="D9" s="5" t="s">
        <v>20</v>
      </c>
      <c r="E9" s="5" t="s">
        <v>15</v>
      </c>
      <c r="F9" s="5" t="s">
        <v>22</v>
      </c>
      <c r="G9" s="5">
        <v>4</v>
      </c>
      <c r="H9" s="6">
        <v>32000</v>
      </c>
      <c r="I9" s="6">
        <v>9000</v>
      </c>
      <c r="J9" s="6">
        <f t="shared" si="0"/>
        <v>41000</v>
      </c>
      <c r="K9" s="5" t="s">
        <v>34</v>
      </c>
    </row>
    <row r="10" spans="1:11" ht="20" x14ac:dyDescent="0.15">
      <c r="A10" s="3" t="s">
        <v>37</v>
      </c>
      <c r="B10" s="3" t="s">
        <v>38</v>
      </c>
      <c r="C10" s="3">
        <v>50</v>
      </c>
      <c r="D10" s="3" t="s">
        <v>14</v>
      </c>
      <c r="E10" s="3" t="s">
        <v>25</v>
      </c>
      <c r="F10" s="3" t="s">
        <v>16</v>
      </c>
      <c r="G10" s="3">
        <v>6</v>
      </c>
      <c r="H10" s="4">
        <v>38000</v>
      </c>
      <c r="I10" s="4">
        <v>8000</v>
      </c>
      <c r="J10" s="4">
        <f t="shared" si="0"/>
        <v>46000</v>
      </c>
      <c r="K10" s="3" t="s">
        <v>39</v>
      </c>
    </row>
    <row r="11" spans="1:11" ht="20" x14ac:dyDescent="0.15">
      <c r="A11" s="5" t="s">
        <v>40</v>
      </c>
      <c r="B11" s="5" t="s">
        <v>41</v>
      </c>
      <c r="C11" s="5">
        <v>42</v>
      </c>
      <c r="D11" s="5" t="s">
        <v>20</v>
      </c>
      <c r="E11" s="5" t="s">
        <v>21</v>
      </c>
      <c r="F11" s="5" t="s">
        <v>22</v>
      </c>
      <c r="G11" s="5">
        <v>3</v>
      </c>
      <c r="H11" s="6">
        <v>18000</v>
      </c>
      <c r="I11" s="6">
        <v>6000</v>
      </c>
      <c r="J11" s="6">
        <f t="shared" si="0"/>
        <v>24000</v>
      </c>
      <c r="K11" s="5" t="s">
        <v>39</v>
      </c>
    </row>
    <row r="12" spans="1:11" ht="20" x14ac:dyDescent="0.15">
      <c r="A12" s="3" t="s">
        <v>42</v>
      </c>
      <c r="B12" s="3" t="s">
        <v>43</v>
      </c>
      <c r="C12" s="3">
        <v>67</v>
      </c>
      <c r="D12" s="3" t="s">
        <v>14</v>
      </c>
      <c r="E12" s="3" t="s">
        <v>15</v>
      </c>
      <c r="F12" s="3" t="s">
        <v>33</v>
      </c>
      <c r="G12" s="3">
        <v>12</v>
      </c>
      <c r="H12" s="4">
        <v>75000</v>
      </c>
      <c r="I12" s="4">
        <v>18000</v>
      </c>
      <c r="J12" s="4">
        <f t="shared" si="0"/>
        <v>93000</v>
      </c>
      <c r="K12" s="3" t="s">
        <v>44</v>
      </c>
    </row>
    <row r="13" spans="1:11" ht="20" x14ac:dyDescent="0.15">
      <c r="A13" s="5" t="s">
        <v>45</v>
      </c>
      <c r="B13" s="5" t="s">
        <v>46</v>
      </c>
      <c r="C13" s="5">
        <v>25</v>
      </c>
      <c r="D13" s="5" t="s">
        <v>20</v>
      </c>
      <c r="E13" s="5" t="s">
        <v>29</v>
      </c>
      <c r="F13" s="5" t="s">
        <v>16</v>
      </c>
      <c r="G13" s="5">
        <v>1</v>
      </c>
      <c r="H13" s="6">
        <v>5000</v>
      </c>
      <c r="I13" s="6">
        <v>2500</v>
      </c>
      <c r="J13" s="6">
        <f t="shared" si="0"/>
        <v>7500</v>
      </c>
      <c r="K13" s="5" t="s">
        <v>44</v>
      </c>
    </row>
    <row r="14" spans="1:11" ht="20" x14ac:dyDescent="0.15">
      <c r="A14" s="3" t="s">
        <v>47</v>
      </c>
      <c r="B14" s="3" t="s">
        <v>48</v>
      </c>
      <c r="C14" s="3">
        <v>48</v>
      </c>
      <c r="D14" s="3" t="s">
        <v>14</v>
      </c>
      <c r="E14" s="3" t="s">
        <v>32</v>
      </c>
      <c r="F14" s="3" t="s">
        <v>22</v>
      </c>
      <c r="G14" s="3">
        <v>8</v>
      </c>
      <c r="H14" s="4">
        <v>52000</v>
      </c>
      <c r="I14" s="4">
        <v>12000</v>
      </c>
      <c r="J14" s="4">
        <f t="shared" si="0"/>
        <v>64000</v>
      </c>
      <c r="K14" s="3" t="s">
        <v>49</v>
      </c>
    </row>
    <row r="15" spans="1:11" ht="20" x14ac:dyDescent="0.15">
      <c r="A15" s="5" t="s">
        <v>50</v>
      </c>
      <c r="B15" s="5" t="s">
        <v>51</v>
      </c>
      <c r="C15" s="5">
        <v>35</v>
      </c>
      <c r="D15" s="5" t="s">
        <v>20</v>
      </c>
      <c r="E15" s="5" t="s">
        <v>21</v>
      </c>
      <c r="F15" s="5" t="s">
        <v>16</v>
      </c>
      <c r="G15" s="5">
        <v>4</v>
      </c>
      <c r="H15" s="6">
        <v>20000</v>
      </c>
      <c r="I15" s="6">
        <v>5500</v>
      </c>
      <c r="J15" s="6">
        <f t="shared" si="0"/>
        <v>25500</v>
      </c>
      <c r="K15" s="5" t="s">
        <v>49</v>
      </c>
    </row>
    <row r="16" spans="1:11" ht="20" x14ac:dyDescent="0.15">
      <c r="A16" s="3" t="s">
        <v>52</v>
      </c>
      <c r="B16" s="3" t="s">
        <v>53</v>
      </c>
      <c r="C16" s="3">
        <v>58</v>
      </c>
      <c r="D16" s="3" t="s">
        <v>14</v>
      </c>
      <c r="E16" s="3" t="s">
        <v>25</v>
      </c>
      <c r="F16" s="3" t="s">
        <v>33</v>
      </c>
      <c r="G16" s="3">
        <v>9</v>
      </c>
      <c r="H16" s="4">
        <v>58000</v>
      </c>
      <c r="I16" s="4">
        <v>13000</v>
      </c>
      <c r="J16" s="4">
        <f t="shared" si="0"/>
        <v>71000</v>
      </c>
      <c r="K16" s="3" t="s">
        <v>54</v>
      </c>
    </row>
    <row r="17" spans="1:11" ht="20" x14ac:dyDescent="0.15">
      <c r="A17" s="5" t="s">
        <v>55</v>
      </c>
      <c r="B17" s="5" t="s">
        <v>56</v>
      </c>
      <c r="C17" s="5">
        <v>30</v>
      </c>
      <c r="D17" s="5" t="s">
        <v>20</v>
      </c>
      <c r="E17" s="5" t="s">
        <v>15</v>
      </c>
      <c r="F17" s="5" t="s">
        <v>16</v>
      </c>
      <c r="G17" s="5">
        <v>3</v>
      </c>
      <c r="H17" s="6">
        <v>22000</v>
      </c>
      <c r="I17" s="6">
        <v>7000</v>
      </c>
      <c r="J17" s="6">
        <f t="shared" si="0"/>
        <v>29000</v>
      </c>
      <c r="K17" s="5" t="s">
        <v>54</v>
      </c>
    </row>
    <row r="18" spans="1:11" ht="20" x14ac:dyDescent="0.15">
      <c r="A18" s="3" t="s">
        <v>57</v>
      </c>
      <c r="B18" s="3" t="s">
        <v>58</v>
      </c>
      <c r="C18" s="3">
        <v>72</v>
      </c>
      <c r="D18" s="3" t="s">
        <v>14</v>
      </c>
      <c r="E18" s="3" t="s">
        <v>32</v>
      </c>
      <c r="F18" s="3" t="s">
        <v>33</v>
      </c>
      <c r="G18" s="3">
        <v>14</v>
      </c>
      <c r="H18" s="4">
        <v>88000</v>
      </c>
      <c r="I18" s="4">
        <v>20000</v>
      </c>
      <c r="J18" s="4">
        <f t="shared" si="0"/>
        <v>108000</v>
      </c>
      <c r="K18" s="3" t="s">
        <v>59</v>
      </c>
    </row>
    <row r="19" spans="1:11" ht="20" x14ac:dyDescent="0.15">
      <c r="A19" s="5" t="s">
        <v>60</v>
      </c>
      <c r="B19" s="5" t="s">
        <v>61</v>
      </c>
      <c r="C19" s="5">
        <v>22</v>
      </c>
      <c r="D19" s="5" t="s">
        <v>20</v>
      </c>
      <c r="E19" s="5" t="s">
        <v>29</v>
      </c>
      <c r="F19" s="5" t="s">
        <v>16</v>
      </c>
      <c r="G19" s="5">
        <v>2</v>
      </c>
      <c r="H19" s="6">
        <v>7000</v>
      </c>
      <c r="I19" s="6">
        <v>3000</v>
      </c>
      <c r="J19" s="6">
        <f t="shared" si="0"/>
        <v>10000</v>
      </c>
      <c r="K19" s="5" t="s">
        <v>59</v>
      </c>
    </row>
    <row r="20" spans="1:11" ht="20" x14ac:dyDescent="0.15">
      <c r="A20" s="3" t="s">
        <v>62</v>
      </c>
      <c r="B20" s="3" t="s">
        <v>63</v>
      </c>
      <c r="C20" s="3">
        <v>44</v>
      </c>
      <c r="D20" s="3" t="s">
        <v>14</v>
      </c>
      <c r="E20" s="3" t="s">
        <v>15</v>
      </c>
      <c r="F20" s="3" t="s">
        <v>22</v>
      </c>
      <c r="G20" s="3">
        <v>5</v>
      </c>
      <c r="H20" s="4">
        <v>30000</v>
      </c>
      <c r="I20" s="4">
        <v>9000</v>
      </c>
      <c r="J20" s="4">
        <f t="shared" si="0"/>
        <v>39000</v>
      </c>
      <c r="K20" s="3" t="s">
        <v>64</v>
      </c>
    </row>
    <row r="21" spans="1:11" ht="20" x14ac:dyDescent="0.15">
      <c r="A21" s="5" t="s">
        <v>65</v>
      </c>
      <c r="B21" s="5" t="s">
        <v>66</v>
      </c>
      <c r="C21" s="5">
        <v>36</v>
      </c>
      <c r="D21" s="5" t="s">
        <v>20</v>
      </c>
      <c r="E21" s="5" t="s">
        <v>21</v>
      </c>
      <c r="F21" s="5" t="s">
        <v>22</v>
      </c>
      <c r="G21" s="5">
        <v>3</v>
      </c>
      <c r="H21" s="6">
        <v>17000</v>
      </c>
      <c r="I21" s="6">
        <v>5500</v>
      </c>
      <c r="J21" s="6">
        <f t="shared" si="0"/>
        <v>22500</v>
      </c>
      <c r="K21" s="5" t="s">
        <v>64</v>
      </c>
    </row>
    <row r="22" spans="1:11" ht="18" customHeight="1" x14ac:dyDescent="0.15">
      <c r="B22" s="23" t="s">
        <v>67</v>
      </c>
      <c r="C22" s="24"/>
      <c r="D22" s="24"/>
      <c r="E22" s="24"/>
      <c r="F22" s="24"/>
      <c r="G22" s="25">
        <f>SUM(G4:G21)</f>
        <v>101</v>
      </c>
      <c r="H22" s="25">
        <f>SUM(H4:H21)</f>
        <v>620000</v>
      </c>
      <c r="I22" s="25">
        <f>SUM(I4:I21)</f>
        <v>159500</v>
      </c>
      <c r="J22" s="25">
        <f>SUM(J4:J21)</f>
        <v>779500</v>
      </c>
      <c r="K22" s="7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zoomScaleNormal="100" workbookViewId="0">
      <selection activeCell="C3" sqref="C3"/>
    </sheetView>
  </sheetViews>
  <sheetFormatPr baseColWidth="10" defaultColWidth="8.6640625" defaultRowHeight="15" x14ac:dyDescent="0.2"/>
  <cols>
    <col min="1" max="1" width="5" style="16" customWidth="1"/>
    <col min="2" max="2" width="18.83203125" style="16" customWidth="1"/>
    <col min="3" max="3" width="62" style="16" customWidth="1"/>
    <col min="4" max="4" width="18" style="16" customWidth="1"/>
    <col min="5" max="5" width="86.5" style="16" customWidth="1"/>
    <col min="6" max="16384" width="8.6640625" style="16"/>
  </cols>
  <sheetData>
    <row r="1" spans="1:6" ht="31.5" customHeight="1" x14ac:dyDescent="0.2">
      <c r="A1" s="19" t="s">
        <v>68</v>
      </c>
      <c r="B1" s="19"/>
      <c r="C1" s="19"/>
      <c r="D1" s="19"/>
      <c r="E1" s="19"/>
      <c r="F1" s="19"/>
    </row>
    <row r="2" spans="1:6" ht="21.75" customHeight="1" x14ac:dyDescent="0.2">
      <c r="A2" s="17" t="s">
        <v>69</v>
      </c>
      <c r="B2" s="17" t="s">
        <v>70</v>
      </c>
      <c r="C2" s="17" t="s">
        <v>71</v>
      </c>
      <c r="D2" s="17" t="s">
        <v>72</v>
      </c>
      <c r="E2" s="17" t="s">
        <v>73</v>
      </c>
      <c r="F2" s="18"/>
    </row>
    <row r="3" spans="1:6" ht="25.5" customHeight="1" x14ac:dyDescent="0.2">
      <c r="A3" s="8" t="s">
        <v>74</v>
      </c>
      <c r="B3" s="9" t="s">
        <v>75</v>
      </c>
      <c r="C3" s="15">
        <f>SUM('Patient Data'!J4:J21)</f>
        <v>779500</v>
      </c>
      <c r="D3" s="10">
        <f>SUM('Patient Data'!J4:J21)</f>
        <v>779500</v>
      </c>
      <c r="E3" s="22" t="s">
        <v>76</v>
      </c>
      <c r="F3" s="18"/>
    </row>
    <row r="4" spans="1:6" ht="25.5" customHeight="1" x14ac:dyDescent="0.2">
      <c r="A4" s="8" t="s">
        <v>77</v>
      </c>
      <c r="B4" s="11" t="s">
        <v>78</v>
      </c>
      <c r="C4" s="15">
        <f>AVERAGE('Patient Data'!G4:G21)</f>
        <v>5.6111111111111107</v>
      </c>
      <c r="D4" s="12">
        <f>AVERAGE('Patient Data'!G4:G21)</f>
        <v>5.6111111111111107</v>
      </c>
      <c r="E4" s="22" t="s">
        <v>79</v>
      </c>
      <c r="F4" s="18"/>
    </row>
    <row r="5" spans="1:6" ht="25.5" customHeight="1" x14ac:dyDescent="0.2">
      <c r="A5" s="8" t="s">
        <v>80</v>
      </c>
      <c r="B5" s="9" t="s">
        <v>81</v>
      </c>
      <c r="C5" s="15">
        <f>MAX('Patient Data'!J4:J21)</f>
        <v>108000</v>
      </c>
      <c r="D5" s="10">
        <f>MAX('Patient Data'!J4:J21)</f>
        <v>108000</v>
      </c>
      <c r="E5" s="22" t="s">
        <v>82</v>
      </c>
      <c r="F5" s="18"/>
    </row>
    <row r="6" spans="1:6" ht="25.5" customHeight="1" x14ac:dyDescent="0.2">
      <c r="A6" s="8" t="s">
        <v>83</v>
      </c>
      <c r="B6" s="11" t="s">
        <v>84</v>
      </c>
      <c r="C6" s="15">
        <f>MIN('Patient Data'!J4:J21)</f>
        <v>7500</v>
      </c>
      <c r="D6" s="10">
        <f>MIN('Patient Data'!J4:J21)</f>
        <v>7500</v>
      </c>
      <c r="E6" s="22" t="s">
        <v>85</v>
      </c>
      <c r="F6" s="18"/>
    </row>
    <row r="7" spans="1:6" ht="25.5" customHeight="1" x14ac:dyDescent="0.2">
      <c r="A7" s="8" t="s">
        <v>86</v>
      </c>
      <c r="B7" s="9" t="s">
        <v>87</v>
      </c>
      <c r="C7" s="15">
        <f>COUNT('Patient Data'!G4:G21)</f>
        <v>18</v>
      </c>
      <c r="D7" s="13">
        <f>COUNT('Patient Data'!G4:G21)</f>
        <v>18</v>
      </c>
      <c r="E7" s="22" t="s">
        <v>88</v>
      </c>
      <c r="F7" s="18"/>
    </row>
    <row r="8" spans="1:6" ht="25.5" customHeight="1" x14ac:dyDescent="0.2">
      <c r="A8" s="8" t="s">
        <v>89</v>
      </c>
      <c r="B8" s="11" t="s">
        <v>90</v>
      </c>
      <c r="C8" s="15">
        <f>COUNTIF('Patient Data'!E4:E21,"Cardiology")</f>
        <v>5</v>
      </c>
      <c r="D8" s="13">
        <f>COUNTIF('Patient Data'!E4:E21,"Cardiology")</f>
        <v>5</v>
      </c>
      <c r="E8" s="22" t="s">
        <v>91</v>
      </c>
      <c r="F8" s="18"/>
    </row>
    <row r="9" spans="1:6" ht="25.5" customHeight="1" x14ac:dyDescent="0.2">
      <c r="A9" s="8" t="s">
        <v>92</v>
      </c>
      <c r="B9" s="9" t="s">
        <v>93</v>
      </c>
      <c r="C9" s="15">
        <f>SUMIF('Patient Data'!F4:F21,"ICU",'Patient Data'!J4:J21)</f>
        <v>352000</v>
      </c>
      <c r="D9" s="10">
        <f>SUMIF('Patient Data'!F4:F21,"ICU",'Patient Data'!J4:J21)</f>
        <v>352000</v>
      </c>
      <c r="E9" s="22" t="s">
        <v>94</v>
      </c>
      <c r="F9" s="18"/>
    </row>
    <row r="10" spans="1:6" ht="25.5" customHeight="1" x14ac:dyDescent="0.2">
      <c r="A10" s="8" t="s">
        <v>95</v>
      </c>
      <c r="B10" s="11" t="s">
        <v>96</v>
      </c>
      <c r="C10" s="15" t="str">
        <f>IF(AVERAGE('Patient Data'!G4:G21)&gt;5,"HIGH STAY","NORMAL STAY")</f>
        <v>HIGH STAY</v>
      </c>
      <c r="D10" s="14" t="str">
        <f>IF(AVERAGE('Patient Data'!G4:G21)&gt;5,"HIGH STAY","NORMAL STAY")</f>
        <v>HIGH STAY</v>
      </c>
      <c r="E10" s="22" t="s">
        <v>97</v>
      </c>
      <c r="F10" s="18"/>
    </row>
    <row r="11" spans="1:6" ht="25.5" customHeight="1" x14ac:dyDescent="0.2">
      <c r="A11" s="8" t="s">
        <v>98</v>
      </c>
      <c r="B11" s="9" t="s">
        <v>99</v>
      </c>
      <c r="C11" s="15">
        <f>VLOOKUP("P009",'Patient Data'!A4:J21,10,FALSE())</f>
        <v>93000</v>
      </c>
      <c r="D11" s="10">
        <f>VLOOKUP("P009",'Patient Data'!A4:J21,10,FALSE())</f>
        <v>93000</v>
      </c>
      <c r="E11" s="22" t="s">
        <v>100</v>
      </c>
      <c r="F11" s="18"/>
    </row>
    <row r="12" spans="1:6" ht="25.5" customHeight="1" x14ac:dyDescent="0.2">
      <c r="A12" s="8" t="s">
        <v>101</v>
      </c>
      <c r="B12" s="11" t="s">
        <v>102</v>
      </c>
      <c r="C12" s="15">
        <f>AVERAGEIF('Patient Data'!E4:E21,"Neurology",'Patient Data'!G4:G21)</f>
        <v>10.666666666666666</v>
      </c>
      <c r="D12" s="12">
        <f>AVERAGEIF('Patient Data'!E4:E21,"Neurology",'Patient Data'!G4:G21)</f>
        <v>10.666666666666666</v>
      </c>
      <c r="E12" s="22" t="s">
        <v>103</v>
      </c>
      <c r="F12" s="18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 Data</vt:lpstr>
      <vt:lpstr>Analysis &amp;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Ansh Gupta</cp:lastModifiedBy>
  <cp:revision>0</cp:revision>
  <dcterms:created xsi:type="dcterms:W3CDTF">2026-04-12T10:11:22Z</dcterms:created>
  <dcterms:modified xsi:type="dcterms:W3CDTF">2026-04-12T12:06:41Z</dcterms:modified>
  <dc:language>en-US</dc:language>
</cp:coreProperties>
</file>